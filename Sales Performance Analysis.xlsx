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aik Irfan\Downloads\Excel\"/>
    </mc:Choice>
  </mc:AlternateContent>
  <xr:revisionPtr revIDLastSave="0" documentId="13_ncr:1_{0C1C2CA6-2183-49A8-9C48-5224922E1885}" xr6:coauthVersionLast="47" xr6:coauthVersionMax="47" xr10:uidLastSave="{00000000-0000-0000-0000-000000000000}"/>
  <bookViews>
    <workbookView xWindow="-110" yWindow="-110" windowWidth="19420" windowHeight="11500" xr2:uid="{4AD350C9-D762-4940-BD7F-74BB8F1D52EE}"/>
  </bookViews>
  <sheets>
    <sheet name="Sales_Data" sheetId="1" r:id="rId1"/>
    <sheet name="Product_Master" sheetId="2" r:id="rId2"/>
    <sheet name="Pivot_Tables" sheetId="3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F16" i="1" l="1"/>
  <c r="F15" i="1"/>
  <c r="L16" i="1"/>
  <c r="L15" i="1"/>
  <c r="L2" i="1" a="1"/>
  <c r="L2" i="1" s="1"/>
  <c r="K2" i="1" a="1"/>
  <c r="K2" i="1" s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M2" i="1" l="1" a="1"/>
  <c r="M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<sst xmlns="http://schemas.openxmlformats.org/spreadsheetml/2006/main" count="94" uniqueCount="46">
  <si>
    <t>Order_ID</t>
  </si>
  <si>
    <t>Date</t>
  </si>
  <si>
    <t>Region</t>
  </si>
  <si>
    <t>Salesperson</t>
  </si>
  <si>
    <t>Product_ID</t>
  </si>
  <si>
    <t>Category</t>
  </si>
  <si>
    <t>Sales_Amount</t>
  </si>
  <si>
    <t>Quantity</t>
  </si>
  <si>
    <t>North</t>
  </si>
  <si>
    <t>Amit</t>
  </si>
  <si>
    <t>P101</t>
  </si>
  <si>
    <t>Electronics</t>
  </si>
  <si>
    <t>South</t>
  </si>
  <si>
    <t>Ravi</t>
  </si>
  <si>
    <t>P102</t>
  </si>
  <si>
    <t>Furniture</t>
  </si>
  <si>
    <t>East</t>
  </si>
  <si>
    <t>Neha</t>
  </si>
  <si>
    <t>P103</t>
  </si>
  <si>
    <t>Clothing</t>
  </si>
  <si>
    <t>West</t>
  </si>
  <si>
    <t>Priya</t>
  </si>
  <si>
    <t>P104</t>
  </si>
  <si>
    <t>P105</t>
  </si>
  <si>
    <t>Product_Name</t>
  </si>
  <si>
    <t>Price</t>
  </si>
  <si>
    <t>Laptop</t>
  </si>
  <si>
    <t>Chair</t>
  </si>
  <si>
    <t>T-Shirt</t>
  </si>
  <si>
    <t>Jeans</t>
  </si>
  <si>
    <t>Table</t>
  </si>
  <si>
    <t>Product</t>
  </si>
  <si>
    <t>performance category</t>
  </si>
  <si>
    <t>Zone Region</t>
  </si>
  <si>
    <t>Performance %</t>
  </si>
  <si>
    <t xml:space="preserve">Total Sales for Electronics category </t>
  </si>
  <si>
    <r>
      <t xml:space="preserve">Total Sales for </t>
    </r>
    <r>
      <rPr>
        <sz val="11"/>
        <color theme="1"/>
        <rFont val="Aptos"/>
        <family val="2"/>
      </rPr>
      <t xml:space="preserve">North region and Clothing category </t>
    </r>
  </si>
  <si>
    <r>
      <t xml:space="preserve">Total Quantity sold by </t>
    </r>
    <r>
      <rPr>
        <sz val="12"/>
        <color theme="1"/>
        <rFont val="Aptos"/>
        <family val="2"/>
      </rPr>
      <t xml:space="preserve">Amit </t>
    </r>
  </si>
  <si>
    <r>
      <t xml:space="preserve">Count number of orders in </t>
    </r>
    <r>
      <rPr>
        <sz val="12"/>
        <color theme="1"/>
        <rFont val="Aptos"/>
        <family val="2"/>
      </rPr>
      <t>Furniture category</t>
    </r>
  </si>
  <si>
    <t>Count of orders in Region = South AND Sales &gt; 5000</t>
  </si>
  <si>
    <t>Row Labels</t>
  </si>
  <si>
    <t>Grand Total</t>
  </si>
  <si>
    <t>Sum of Sales_Amount</t>
  </si>
  <si>
    <t xml:space="preserve">	Total Sales by Region</t>
  </si>
  <si>
    <t xml:space="preserve">	Total Sales by Category</t>
  </si>
  <si>
    <t xml:space="preserve">	Salesperson vs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</si>
</sst>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4" borderId="2" xfId="0" applyFill="1" applyBorder="1"/>
    <xf numFmtId="0" fontId="0" fillId="4" borderId="2" xfId="0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2">
    <cellStyle name="Normal" xfId="0" builtinId="0"/>
    <cellStyle name="Output" xfId="1" builtinId="21"/>
  </cellStyles>
  <dxfs count="3">
    <dxf>
      <fill>
        <patternFill>
          <bgColor theme="9" tint="0.39994506668294322"/>
        </patternFill>
      </fill>
    </dxf>
    <dxf>
      <fill>
        <patternFill>
          <bgColor rgb="FFFA7A7A"/>
        </patternFill>
      </fill>
    </dxf>
    <dxf>
      <font>
        <b/>
        <i val="0"/>
        <color theme="9" tint="-0.2499465926084170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</dxfs>
  <tableStyles count="0" defaultTableStyle="TableStyleMedium2" defaultPivotStyle="PivotStyleLight16"/>
  <colors>
    <mruColors>
      <color rgb="FFFA7A7A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 Irfan" refreshedDate="46109.701481481483" createdVersion="8" refreshedVersion="8" minRefreshableVersion="3" recordCount="10" xr:uid="{394032EC-23BD-402F-87E4-3DB21692E4C6}">
  <cacheSource type="worksheet">
    <worksheetSource ref="A1:M11" sheet="Sales_Data"/>
  </cacheSource>
  <cacheFields count="13">
    <cacheField name="Order_ID" numFmtId="0">
      <sharedItems containsSemiMixedTypes="0" containsString="0" containsNumber="1" containsInteger="1" minValue="1001" maxValue="1010"/>
    </cacheField>
    <cacheField name="Date" numFmtId="0">
      <sharedItems containsSemiMixedTypes="0" containsString="0" containsNumber="1" containsInteger="1" minValue="45292" maxValue="45299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_ID" numFmtId="0">
      <sharedItems/>
    </cacheField>
    <cacheField name="Category" numFmtId="0">
      <sharedItems/>
    </cacheField>
    <cacheField name="Sales_Amount" numFmtId="0">
      <sharedItems containsSemiMixedTypes="0" containsString="0" containsNumber="1" containsInteger="1" minValue="2000" maxValue="18000"/>
    </cacheField>
    <cacheField name="Quantity" numFmtId="0">
      <sharedItems containsSemiMixedTypes="0" containsString="0" containsNumber="1" containsInteger="1" minValue="1" maxValue="5"/>
    </cacheField>
    <cacheField name="Product" numFmtId="0">
      <sharedItems/>
    </cacheField>
    <cacheField name="Price" numFmtId="0">
      <sharedItems containsSemiMixedTypes="0" containsString="0" containsNumber="1" containsInteger="1" minValue="500" maxValue="7500"/>
    </cacheField>
    <cacheField name="performance category" numFmtId="0">
      <sharedItems/>
    </cacheField>
    <cacheField name="Zone Region" numFmtId="0">
      <sharedItems/>
    </cacheField>
    <cacheField name="Performance %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 Irfan" refreshedDate="46109.708529166666" createdVersion="8" refreshedVersion="8" minRefreshableVersion="3" recordCount="10" xr:uid="{F5D9090A-F858-4033-B365-E8356C81B559}">
  <cacheSource type="worksheet">
    <worksheetSource ref="A1:M11" sheet="Sales_Data"/>
  </cacheSource>
  <cacheFields count="13">
    <cacheField name="Order_ID" numFmtId="0">
      <sharedItems containsSemiMixedTypes="0" containsString="0" containsNumber="1" containsInteger="1" minValue="1001" maxValue="1010"/>
    </cacheField>
    <cacheField name="Date" numFmtId="0">
      <sharedItems containsSemiMixedTypes="0" containsString="0" containsNumber="1" containsInteger="1" minValue="45292" maxValue="45299"/>
    </cacheField>
    <cacheField name="Region" numFmtId="0">
      <sharedItems/>
    </cacheField>
    <cacheField name="Salesperson" numFmtId="0">
      <sharedItems count="4">
        <s v="Amit"/>
        <s v="Ravi"/>
        <s v="Neha"/>
        <s v="Priya"/>
      </sharedItems>
    </cacheField>
    <cacheField name="Product_ID" numFmtId="0">
      <sharedItems/>
    </cacheField>
    <cacheField name="Category" numFmtId="0">
      <sharedItems count="3">
        <s v="Electronics"/>
        <s v="Furniture"/>
        <s v="Clothing"/>
      </sharedItems>
    </cacheField>
    <cacheField name="Sales_Amount" numFmtId="0">
      <sharedItems containsSemiMixedTypes="0" containsString="0" containsNumber="1" containsInteger="1" minValue="2000" maxValue="18000"/>
    </cacheField>
    <cacheField name="Quantity" numFmtId="0">
      <sharedItems containsSemiMixedTypes="0" containsString="0" containsNumber="1" containsInteger="1" minValue="1" maxValue="5"/>
    </cacheField>
    <cacheField name="Product" numFmtId="0">
      <sharedItems count="5">
        <s v="Laptop"/>
        <s v="Chair"/>
        <s v="T-Shirt"/>
        <s v="Jeans"/>
        <s v="Table"/>
      </sharedItems>
    </cacheField>
    <cacheField name="Price" numFmtId="0">
      <sharedItems containsSemiMixedTypes="0" containsString="0" containsNumber="1" containsInteger="1" minValue="500" maxValue="7500"/>
    </cacheField>
    <cacheField name="performance category" numFmtId="0">
      <sharedItems containsBlank="1"/>
    </cacheField>
    <cacheField name="Zone Region" numFmtId="0">
      <sharedItems containsBlank="1"/>
    </cacheField>
    <cacheField name="Performance %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n v="45292"/>
    <x v="0"/>
    <s v="Amit"/>
    <s v="P101"/>
    <s v="Electronics"/>
    <n v="15000"/>
    <n v="2"/>
    <s v="Laptop"/>
    <n v="7500"/>
    <s v="Medium"/>
    <s v="Zone1"/>
    <s v="5%"/>
  </r>
  <r>
    <n v="1002"/>
    <n v="45293"/>
    <x v="1"/>
    <s v="Ravi"/>
    <s v="P102"/>
    <s v="Furniture"/>
    <n v="8000"/>
    <n v="1"/>
    <s v="Chair"/>
    <n v="7000"/>
    <s v="Medium"/>
    <s v="Zone2"/>
    <s v="5%"/>
  </r>
  <r>
    <n v="1003"/>
    <n v="45293"/>
    <x v="2"/>
    <s v="Neha"/>
    <s v="P103"/>
    <s v="Clothing"/>
    <n v="2000"/>
    <n v="5"/>
    <s v="T-Shirt"/>
    <n v="500"/>
    <s v="Low"/>
    <s v="Zone3"/>
    <s v="2%"/>
  </r>
  <r>
    <n v="1004"/>
    <n v="45294"/>
    <x v="3"/>
    <s v="Priya"/>
    <s v="P101"/>
    <s v="Electronics"/>
    <n v="12000"/>
    <n v="1"/>
    <s v="Laptop"/>
    <n v="7500"/>
    <s v="Medium"/>
    <s v="Zone4"/>
    <s v="5%"/>
  </r>
  <r>
    <n v="1005"/>
    <n v="45294"/>
    <x v="0"/>
    <s v="Amit"/>
    <s v="P104"/>
    <s v="Clothing"/>
    <n v="3000"/>
    <n v="3"/>
    <s v="Jeans"/>
    <n v="1500"/>
    <s v="Low"/>
    <s v="Zone1"/>
    <s v="2%"/>
  </r>
  <r>
    <n v="1006"/>
    <n v="45295"/>
    <x v="1"/>
    <s v="Ravi"/>
    <s v="P105"/>
    <s v="Furniture"/>
    <n v="10000"/>
    <n v="2"/>
    <s v="Table"/>
    <n v="5000"/>
    <s v="Medium"/>
    <s v="Zone2"/>
    <s v="5%"/>
  </r>
  <r>
    <n v="1007"/>
    <n v="45296"/>
    <x v="2"/>
    <s v="Neha"/>
    <s v="P101"/>
    <s v="Electronics"/>
    <n v="18000"/>
    <n v="2"/>
    <s v="Laptop"/>
    <n v="7500"/>
    <s v="High"/>
    <s v="Zone3"/>
    <s v="10%"/>
  </r>
  <r>
    <n v="1008"/>
    <n v="45297"/>
    <x v="3"/>
    <s v="Priya"/>
    <s v="P102"/>
    <s v="Furniture"/>
    <n v="7000"/>
    <n v="1"/>
    <s v="Chair"/>
    <n v="7000"/>
    <s v="Medium"/>
    <s v="Zone4"/>
    <s v="5%"/>
  </r>
  <r>
    <n v="1009"/>
    <n v="45298"/>
    <x v="0"/>
    <s v="Amit"/>
    <s v="P103"/>
    <s v="Clothing"/>
    <n v="2500"/>
    <n v="4"/>
    <s v="T-Shirt"/>
    <n v="500"/>
    <s v="Low"/>
    <s v="Zone1"/>
    <s v="2%"/>
  </r>
  <r>
    <n v="1010"/>
    <n v="45299"/>
    <x v="1"/>
    <s v="Ravi"/>
    <s v="P104"/>
    <s v="Clothing"/>
    <n v="3500"/>
    <n v="2"/>
    <s v="Jeans"/>
    <n v="1500"/>
    <s v="Low"/>
    <s v="Zone2"/>
    <s v="2%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n v="45292"/>
    <s v="North"/>
    <x v="0"/>
    <s v="P101"/>
    <x v="0"/>
    <n v="15000"/>
    <n v="2"/>
    <x v="0"/>
    <n v="7500"/>
    <s v="#SPILL!"/>
    <s v="#SPILL!"/>
    <s v="#SPILL!"/>
  </r>
  <r>
    <n v="1002"/>
    <n v="45293"/>
    <s v="South"/>
    <x v="1"/>
    <s v="P102"/>
    <x v="1"/>
    <n v="8000"/>
    <n v="1"/>
    <x v="1"/>
    <n v="7000"/>
    <m/>
    <m/>
    <m/>
  </r>
  <r>
    <n v="1003"/>
    <n v="45293"/>
    <s v="East"/>
    <x v="2"/>
    <s v="P103"/>
    <x v="2"/>
    <n v="2000"/>
    <n v="5"/>
    <x v="2"/>
    <n v="500"/>
    <m/>
    <m/>
    <m/>
  </r>
  <r>
    <n v="1004"/>
    <n v="45294"/>
    <s v="West"/>
    <x v="3"/>
    <s v="P101"/>
    <x v="0"/>
    <n v="12000"/>
    <n v="1"/>
    <x v="0"/>
    <n v="7500"/>
    <m/>
    <m/>
    <m/>
  </r>
  <r>
    <n v="1005"/>
    <n v="45294"/>
    <s v="North"/>
    <x v="0"/>
    <s v="P104"/>
    <x v="2"/>
    <n v="3000"/>
    <n v="3"/>
    <x v="3"/>
    <n v="1500"/>
    <m/>
    <m/>
    <m/>
  </r>
  <r>
    <n v="1006"/>
    <n v="45295"/>
    <s v="South"/>
    <x v="1"/>
    <s v="P105"/>
    <x v="1"/>
    <n v="10000"/>
    <n v="2"/>
    <x v="4"/>
    <n v="5000"/>
    <m/>
    <m/>
    <m/>
  </r>
  <r>
    <n v="1007"/>
    <n v="45296"/>
    <s v="East"/>
    <x v="2"/>
    <s v="P101"/>
    <x v="0"/>
    <n v="18000"/>
    <n v="2"/>
    <x v="0"/>
    <n v="7500"/>
    <m/>
    <m/>
    <m/>
  </r>
  <r>
    <n v="1008"/>
    <n v="45297"/>
    <s v="West"/>
    <x v="3"/>
    <s v="P102"/>
    <x v="1"/>
    <n v="7000"/>
    <n v="1"/>
    <x v="1"/>
    <n v="7000"/>
    <m/>
    <m/>
    <m/>
  </r>
  <r>
    <n v="1009"/>
    <n v="45298"/>
    <s v="North"/>
    <x v="0"/>
    <s v="P103"/>
    <x v="2"/>
    <n v="2500"/>
    <n v="4"/>
    <x v="2"/>
    <n v="500"/>
    <m/>
    <m/>
    <m/>
  </r>
  <r>
    <n v="1010"/>
    <n v="45299"/>
    <s v="South"/>
    <x v="1"/>
    <s v="P104"/>
    <x v="2"/>
    <n v="3500"/>
    <n v="2"/>
    <x v="3"/>
    <n v="150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7396A-9600-4797-8335-36FE746685B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8" firstHeaderRow="1" firstDataRow="1" firstDataCol="1"/>
  <pivotFields count="13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6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3E15C-322D-4196-BE8E-ACCE5FEEFF6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7" firstHeaderRow="1" firstDataRow="1" firstDataCol="1"/>
  <pivotFields count="13"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>
      <items count="6">
        <item x="1"/>
        <item x="3"/>
        <item x="0"/>
        <item x="4"/>
        <item x="2"/>
        <item t="default"/>
      </items>
    </pivotField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1DC7A-0391-41D7-8A35-CAD6872D3F27}" name="Sales_by_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6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D8A8-597D-4013-82BD-25B1D4DEEE81}">
  <dimension ref="A1:M17"/>
  <sheetViews>
    <sheetView tabSelected="1" workbookViewId="0">
      <selection activeCell="B15" sqref="B15:E15"/>
    </sheetView>
  </sheetViews>
  <sheetFormatPr defaultRowHeight="14.5" x14ac:dyDescent="0.35"/>
  <cols>
    <col min="1" max="1" width="10.08984375" customWidth="1"/>
    <col min="2" max="2" width="9.90625" bestFit="1" customWidth="1"/>
    <col min="3" max="3" width="8.54296875" customWidth="1"/>
    <col min="4" max="4" width="13.08984375" customWidth="1"/>
    <col min="5" max="5" width="12" customWidth="1"/>
    <col min="6" max="6" width="10.1796875" customWidth="1"/>
    <col min="7" max="7" width="14.7265625" customWidth="1"/>
    <col min="8" max="8" width="10" customWidth="1"/>
    <col min="9" max="9" width="9.36328125" customWidth="1"/>
    <col min="11" max="11" width="21" customWidth="1"/>
    <col min="12" max="12" width="13" customWidth="1"/>
    <col min="13" max="13" width="15.453125" customWidth="1"/>
  </cols>
  <sheetData>
    <row r="1" spans="1:13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31</v>
      </c>
      <c r="J1" s="7" t="s">
        <v>25</v>
      </c>
      <c r="K1" s="7" t="s">
        <v>32</v>
      </c>
      <c r="L1" s="7" t="s">
        <v>33</v>
      </c>
      <c r="M1" s="8" t="s">
        <v>34</v>
      </c>
    </row>
    <row r="2" spans="1:13" x14ac:dyDescent="0.35">
      <c r="A2">
        <v>1001</v>
      </c>
      <c r="B2">
        <v>45292</v>
      </c>
      <c r="C2" t="s">
        <v>8</v>
      </c>
      <c r="D2" t="s">
        <v>9</v>
      </c>
      <c r="E2" t="s">
        <v>10</v>
      </c>
      <c r="F2" t="s">
        <v>11</v>
      </c>
      <c r="G2">
        <v>15000</v>
      </c>
      <c r="H2">
        <v>2</v>
      </c>
      <c r="I2" t="str">
        <f>VLOOKUP(E2,Product_Master!$A$1:$C$6,2,0)</f>
        <v>Laptop</v>
      </c>
      <c r="J2">
        <f>VLOOKUP(E2,Product_Master!$A$1:$C$6,3,0)</f>
        <v>7500</v>
      </c>
      <c r="K2" t="str" cm="1">
        <f t="array" ref="K2:K11">IF($G$2:$G$11&gt;15000,"High",
   IF($G$2:$G$11&gt;=5000,"Medium",
   "Low"))</f>
        <v>Medium</v>
      </c>
      <c r="L2" t="str" cm="1">
        <f t="array" ref="L2:L11">_xlfn.IFS($C$2:$C$11="North","Zone1",$C$2:$C$11="South","Zone2",$C$2:$C$11="East","Zone3",$C$2:$C$11="West","Zone4")</f>
        <v>Zone1</v>
      </c>
      <c r="M2" t="str" cm="1">
        <f t="array" ref="M2:M11">IF(_xlfn.ANCHORARRAY(K2)="High","10%",IF(_xlfn.ANCHORARRAY(K2)="Medium","5%",IF(_xlfn.ANCHORARRAY(K2)="Low","2%")))</f>
        <v>5%</v>
      </c>
    </row>
    <row r="3" spans="1:13" x14ac:dyDescent="0.35">
      <c r="A3">
        <v>1002</v>
      </c>
      <c r="B3">
        <v>45293</v>
      </c>
      <c r="C3" t="s">
        <v>12</v>
      </c>
      <c r="D3" t="s">
        <v>13</v>
      </c>
      <c r="E3" t="s">
        <v>14</v>
      </c>
      <c r="F3" t="s">
        <v>15</v>
      </c>
      <c r="G3">
        <v>8000</v>
      </c>
      <c r="H3">
        <v>1</v>
      </c>
      <c r="I3" t="str">
        <f>VLOOKUP(E3,Product_Master!$A$1:$C$6,2,0)</f>
        <v>Chair</v>
      </c>
      <c r="J3">
        <f>VLOOKUP(E3,Product_Master!$A$1:$C$6,3,0)</f>
        <v>7000</v>
      </c>
      <c r="K3" t="str">
        <v>Medium</v>
      </c>
      <c r="L3" t="str">
        <v>Zone2</v>
      </c>
      <c r="M3" t="str">
        <v>5%</v>
      </c>
    </row>
    <row r="4" spans="1:13" x14ac:dyDescent="0.35">
      <c r="A4">
        <v>1003</v>
      </c>
      <c r="B4">
        <v>45293</v>
      </c>
      <c r="C4" t="s">
        <v>16</v>
      </c>
      <c r="D4" t="s">
        <v>17</v>
      </c>
      <c r="E4" t="s">
        <v>18</v>
      </c>
      <c r="F4" t="s">
        <v>19</v>
      </c>
      <c r="G4">
        <v>2000</v>
      </c>
      <c r="H4">
        <v>5</v>
      </c>
      <c r="I4" t="str">
        <f>VLOOKUP(E4,Product_Master!$A$1:$C$6,2,0)</f>
        <v>T-Shirt</v>
      </c>
      <c r="J4">
        <f>VLOOKUP(E4,Product_Master!$A$1:$C$6,3,0)</f>
        <v>500</v>
      </c>
      <c r="K4" t="str">
        <v>Low</v>
      </c>
      <c r="L4" t="str">
        <v>Zone3</v>
      </c>
      <c r="M4" t="str">
        <v>2%</v>
      </c>
    </row>
    <row r="5" spans="1:13" x14ac:dyDescent="0.35">
      <c r="A5">
        <v>1004</v>
      </c>
      <c r="B5">
        <v>45294</v>
      </c>
      <c r="C5" t="s">
        <v>20</v>
      </c>
      <c r="D5" t="s">
        <v>21</v>
      </c>
      <c r="E5" t="s">
        <v>10</v>
      </c>
      <c r="F5" t="s">
        <v>11</v>
      </c>
      <c r="G5">
        <v>12000</v>
      </c>
      <c r="H5">
        <v>1</v>
      </c>
      <c r="I5" t="str">
        <f>VLOOKUP(E5,Product_Master!$A$1:$C$6,2,0)</f>
        <v>Laptop</v>
      </c>
      <c r="J5">
        <f>VLOOKUP(E5,Product_Master!$A$1:$C$6,3,0)</f>
        <v>7500</v>
      </c>
      <c r="K5" t="str">
        <v>Medium</v>
      </c>
      <c r="L5" t="str">
        <v>Zone4</v>
      </c>
      <c r="M5" t="str">
        <v>5%</v>
      </c>
    </row>
    <row r="6" spans="1:13" x14ac:dyDescent="0.35">
      <c r="A6">
        <v>1005</v>
      </c>
      <c r="B6">
        <v>45294</v>
      </c>
      <c r="C6" t="s">
        <v>8</v>
      </c>
      <c r="D6" t="s">
        <v>9</v>
      </c>
      <c r="E6" t="s">
        <v>22</v>
      </c>
      <c r="F6" t="s">
        <v>19</v>
      </c>
      <c r="G6">
        <v>3000</v>
      </c>
      <c r="H6">
        <v>3</v>
      </c>
      <c r="I6" t="str">
        <f>VLOOKUP(E6,Product_Master!$A$1:$C$6,2,0)</f>
        <v>Jeans</v>
      </c>
      <c r="J6">
        <f>VLOOKUP(E6,Product_Master!$A$1:$C$6,3,0)</f>
        <v>1500</v>
      </c>
      <c r="K6" t="str">
        <v>Low</v>
      </c>
      <c r="L6" t="str">
        <v>Zone1</v>
      </c>
      <c r="M6" t="str">
        <v>2%</v>
      </c>
    </row>
    <row r="7" spans="1:13" x14ac:dyDescent="0.35">
      <c r="A7">
        <v>1006</v>
      </c>
      <c r="B7">
        <v>45295</v>
      </c>
      <c r="C7" t="s">
        <v>12</v>
      </c>
      <c r="D7" t="s">
        <v>13</v>
      </c>
      <c r="E7" t="s">
        <v>23</v>
      </c>
      <c r="F7" t="s">
        <v>15</v>
      </c>
      <c r="G7">
        <v>10000</v>
      </c>
      <c r="H7">
        <v>2</v>
      </c>
      <c r="I7" t="str">
        <f>VLOOKUP(E7,Product_Master!$A$1:$C$6,2,0)</f>
        <v>Table</v>
      </c>
      <c r="J7">
        <f>VLOOKUP(E7,Product_Master!$A$1:$C$6,3,0)</f>
        <v>5000</v>
      </c>
      <c r="K7" t="str">
        <v>Medium</v>
      </c>
      <c r="L7" t="str">
        <v>Zone2</v>
      </c>
      <c r="M7" t="str">
        <v>5%</v>
      </c>
    </row>
    <row r="8" spans="1:13" x14ac:dyDescent="0.35">
      <c r="A8">
        <v>1007</v>
      </c>
      <c r="B8">
        <v>45296</v>
      </c>
      <c r="C8" t="s">
        <v>16</v>
      </c>
      <c r="D8" t="s">
        <v>17</v>
      </c>
      <c r="E8" t="s">
        <v>10</v>
      </c>
      <c r="F8" t="s">
        <v>11</v>
      </c>
      <c r="G8">
        <v>18000</v>
      </c>
      <c r="H8">
        <v>2</v>
      </c>
      <c r="I8" t="str">
        <f>VLOOKUP(E8,Product_Master!$A$1:$C$6,2,0)</f>
        <v>Laptop</v>
      </c>
      <c r="J8">
        <f>VLOOKUP(E8,Product_Master!$A$1:$C$6,3,0)</f>
        <v>7500</v>
      </c>
      <c r="K8" t="str">
        <v>High</v>
      </c>
      <c r="L8" t="str">
        <v>Zone3</v>
      </c>
      <c r="M8" t="str">
        <v>10%</v>
      </c>
    </row>
    <row r="9" spans="1:13" x14ac:dyDescent="0.35">
      <c r="A9">
        <v>1008</v>
      </c>
      <c r="B9">
        <v>45297</v>
      </c>
      <c r="C9" t="s">
        <v>20</v>
      </c>
      <c r="D9" t="s">
        <v>21</v>
      </c>
      <c r="E9" t="s">
        <v>14</v>
      </c>
      <c r="F9" t="s">
        <v>15</v>
      </c>
      <c r="G9">
        <v>7000</v>
      </c>
      <c r="H9">
        <v>1</v>
      </c>
      <c r="I9" t="str">
        <f>VLOOKUP(E9,Product_Master!$A$1:$C$6,2,0)</f>
        <v>Chair</v>
      </c>
      <c r="J9">
        <f>VLOOKUP(E9,Product_Master!$A$1:$C$6,3,0)</f>
        <v>7000</v>
      </c>
      <c r="K9" t="str">
        <v>Medium</v>
      </c>
      <c r="L9" t="str">
        <v>Zone4</v>
      </c>
      <c r="M9" t="str">
        <v>5%</v>
      </c>
    </row>
    <row r="10" spans="1:13" x14ac:dyDescent="0.35">
      <c r="A10">
        <v>1009</v>
      </c>
      <c r="B10">
        <v>45298</v>
      </c>
      <c r="C10" t="s">
        <v>8</v>
      </c>
      <c r="D10" t="s">
        <v>9</v>
      </c>
      <c r="E10" t="s">
        <v>18</v>
      </c>
      <c r="F10" t="s">
        <v>19</v>
      </c>
      <c r="G10">
        <v>2500</v>
      </c>
      <c r="H10">
        <v>4</v>
      </c>
      <c r="I10" t="str">
        <f>VLOOKUP(E10,Product_Master!$A$1:$C$6,2,0)</f>
        <v>T-Shirt</v>
      </c>
      <c r="J10">
        <f>VLOOKUP(E10,Product_Master!$A$1:$C$6,3,0)</f>
        <v>500</v>
      </c>
      <c r="K10" t="str">
        <v>Low</v>
      </c>
      <c r="L10" t="str">
        <v>Zone1</v>
      </c>
      <c r="M10" t="str">
        <v>2%</v>
      </c>
    </row>
    <row r="11" spans="1:13" x14ac:dyDescent="0.35">
      <c r="A11">
        <v>1010</v>
      </c>
      <c r="B11">
        <v>45299</v>
      </c>
      <c r="C11" t="s">
        <v>12</v>
      </c>
      <c r="D11" t="s">
        <v>13</v>
      </c>
      <c r="E11" t="s">
        <v>22</v>
      </c>
      <c r="F11" t="s">
        <v>19</v>
      </c>
      <c r="G11">
        <v>3500</v>
      </c>
      <c r="H11">
        <v>2</v>
      </c>
      <c r="I11" t="str">
        <f>VLOOKUP(E11,Product_Master!$A$1:$C$6,2,0)</f>
        <v>Jeans</v>
      </c>
      <c r="J11">
        <f>VLOOKUP(E11,Product_Master!$A$1:$C$6,3,0)</f>
        <v>1500</v>
      </c>
      <c r="K11" t="str">
        <v>Low</v>
      </c>
      <c r="L11" t="str">
        <v>Zone2</v>
      </c>
      <c r="M11" t="str">
        <v>2%</v>
      </c>
    </row>
    <row r="15" spans="1:13" ht="16" x14ac:dyDescent="0.4">
      <c r="B15" s="9" t="s">
        <v>35</v>
      </c>
      <c r="C15" s="9"/>
      <c r="D15" s="9"/>
      <c r="E15" s="9"/>
      <c r="F15" s="3">
        <f>SUMIF($F$2:$F$11,$F$2,G2:G11)</f>
        <v>45000</v>
      </c>
      <c r="H15" s="9" t="s">
        <v>38</v>
      </c>
      <c r="I15" s="9"/>
      <c r="J15" s="9"/>
      <c r="K15" s="9"/>
      <c r="L15" s="3">
        <f>COUNTIF($F$2:$F$11,$F$3)</f>
        <v>3</v>
      </c>
    </row>
    <row r="16" spans="1:13" x14ac:dyDescent="0.35">
      <c r="B16" s="9" t="s">
        <v>36</v>
      </c>
      <c r="C16" s="9"/>
      <c r="D16" s="9"/>
      <c r="E16" s="9"/>
      <c r="F16" s="4">
        <f>SUMIFS($G$2:$G$11,$C$2:$C$11,$C$2,$F$2:$F$11,$F$4)</f>
        <v>5500</v>
      </c>
      <c r="H16" s="9" t="s">
        <v>39</v>
      </c>
      <c r="I16" s="9"/>
      <c r="J16" s="9"/>
      <c r="K16" s="9"/>
      <c r="L16" s="3">
        <f>COUNTIFS($C$2:$C$11,$C$3,$G$2:$G$11,"&gt;5000")</f>
        <v>2</v>
      </c>
    </row>
    <row r="17" spans="2:6" ht="16" x14ac:dyDescent="0.4">
      <c r="B17" s="9" t="s">
        <v>37</v>
      </c>
      <c r="C17" s="9"/>
      <c r="D17" s="9"/>
      <c r="E17" s="9"/>
      <c r="F17" s="4">
        <f>SUMIF($D$2:$D$11,$D$2,H2:H11)</f>
        <v>9</v>
      </c>
    </row>
  </sheetData>
  <mergeCells count="5">
    <mergeCell ref="B15:E15"/>
    <mergeCell ref="B16:E16"/>
    <mergeCell ref="B17:E17"/>
    <mergeCell ref="H15:K15"/>
    <mergeCell ref="H16:K16"/>
  </mergeCells>
  <conditionalFormatting sqref="G2:G1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{F23E16F8-9FF3-4E56-AE38-C28BE1EF3883}</x14:id>
        </ext>
      </extLst>
    </cfRule>
    <cfRule type="top10" dxfId="2" priority="2" rank="3"/>
    <cfRule type="cellIs" dxfId="1" priority="4" operator="lessThan">
      <formula>3000</formula>
    </cfRule>
    <cfRule type="cellIs" dxfId="0" priority="5" operator="greaterThan">
      <formula>15000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3E16F8-9FF3-4E56-AE38-C28BE1EF3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G2:G11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8838-A8EF-4989-A837-D901D63732BD}">
  <dimension ref="A1:C6"/>
  <sheetViews>
    <sheetView workbookViewId="0">
      <selection activeCell="B4" sqref="B4"/>
    </sheetView>
  </sheetViews>
  <sheetFormatPr defaultRowHeight="14.5" x14ac:dyDescent="0.35"/>
  <cols>
    <col min="1" max="1" width="9.54296875" bestFit="1" customWidth="1"/>
    <col min="2" max="2" width="12.54296875" bestFit="1" customWidth="1"/>
    <col min="3" max="3" width="4.81640625" bestFit="1" customWidth="1"/>
  </cols>
  <sheetData>
    <row r="1" spans="1:3" x14ac:dyDescent="0.35">
      <c r="A1" s="1" t="s">
        <v>4</v>
      </c>
      <c r="B1" s="1" t="s">
        <v>24</v>
      </c>
      <c r="C1" s="1" t="s">
        <v>25</v>
      </c>
    </row>
    <row r="2" spans="1:3" x14ac:dyDescent="0.35">
      <c r="A2" s="2" t="s">
        <v>10</v>
      </c>
      <c r="B2" s="2" t="s">
        <v>26</v>
      </c>
      <c r="C2" s="2">
        <v>7500</v>
      </c>
    </row>
    <row r="3" spans="1:3" x14ac:dyDescent="0.35">
      <c r="A3" s="2" t="s">
        <v>14</v>
      </c>
      <c r="B3" s="2" t="s">
        <v>27</v>
      </c>
      <c r="C3" s="2">
        <v>7000</v>
      </c>
    </row>
    <row r="4" spans="1:3" x14ac:dyDescent="0.35">
      <c r="A4" s="2" t="s">
        <v>18</v>
      </c>
      <c r="B4" s="2" t="s">
        <v>28</v>
      </c>
      <c r="C4" s="2">
        <v>500</v>
      </c>
    </row>
    <row r="5" spans="1:3" x14ac:dyDescent="0.35">
      <c r="A5" s="2" t="s">
        <v>22</v>
      </c>
      <c r="B5" s="2" t="s">
        <v>29</v>
      </c>
      <c r="C5" s="2">
        <v>1500</v>
      </c>
    </row>
    <row r="6" spans="1:3" x14ac:dyDescent="0.35">
      <c r="A6" s="2" t="s">
        <v>23</v>
      </c>
      <c r="B6" s="2" t="s">
        <v>30</v>
      </c>
      <c r="C6" s="2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3AB4-0D78-45AA-8FCA-60D690D4D439}">
  <dimension ref="A2:J8"/>
  <sheetViews>
    <sheetView workbookViewId="0">
      <selection activeCell="E16" sqref="E16"/>
    </sheetView>
  </sheetViews>
  <sheetFormatPr defaultRowHeight="14.5" x14ac:dyDescent="0.35"/>
  <cols>
    <col min="1" max="1" width="12.453125" bestFit="1" customWidth="1"/>
    <col min="2" max="2" width="19.08984375" bestFit="1" customWidth="1"/>
    <col min="5" max="5" width="12.453125" bestFit="1" customWidth="1"/>
    <col min="6" max="6" width="19.08984375" bestFit="1" customWidth="1"/>
    <col min="9" max="9" width="12.453125" bestFit="1" customWidth="1"/>
    <col min="10" max="10" width="19.08984375" bestFit="1" customWidth="1"/>
  </cols>
  <sheetData>
    <row r="2" spans="1:10" x14ac:dyDescent="0.35">
      <c r="A2" s="10" t="s">
        <v>43</v>
      </c>
      <c r="B2" s="10"/>
      <c r="E2" s="11" t="s">
        <v>44</v>
      </c>
      <c r="F2" s="11"/>
      <c r="I2" s="12" t="s">
        <v>45</v>
      </c>
      <c r="J2" s="12"/>
    </row>
    <row r="3" spans="1:10" x14ac:dyDescent="0.35">
      <c r="A3" s="5" t="s">
        <v>40</v>
      </c>
      <c r="B3" t="s">
        <v>42</v>
      </c>
      <c r="E3" s="5" t="s">
        <v>40</v>
      </c>
      <c r="F3" t="s">
        <v>42</v>
      </c>
      <c r="I3" s="5" t="s">
        <v>40</v>
      </c>
      <c r="J3" t="s">
        <v>42</v>
      </c>
    </row>
    <row r="4" spans="1:10" x14ac:dyDescent="0.35">
      <c r="A4" s="6" t="s">
        <v>16</v>
      </c>
      <c r="B4">
        <v>20000</v>
      </c>
      <c r="E4" s="6" t="s">
        <v>19</v>
      </c>
      <c r="F4">
        <v>11000</v>
      </c>
      <c r="I4" s="6" t="s">
        <v>9</v>
      </c>
      <c r="J4">
        <v>20500</v>
      </c>
    </row>
    <row r="5" spans="1:10" x14ac:dyDescent="0.35">
      <c r="A5" s="6" t="s">
        <v>8</v>
      </c>
      <c r="B5">
        <v>20500</v>
      </c>
      <c r="E5" s="6" t="s">
        <v>11</v>
      </c>
      <c r="F5">
        <v>45000</v>
      </c>
      <c r="I5" s="6" t="s">
        <v>17</v>
      </c>
      <c r="J5">
        <v>20000</v>
      </c>
    </row>
    <row r="6" spans="1:10" x14ac:dyDescent="0.35">
      <c r="A6" s="6" t="s">
        <v>12</v>
      </c>
      <c r="B6">
        <v>21500</v>
      </c>
      <c r="E6" s="6" t="s">
        <v>15</v>
      </c>
      <c r="F6">
        <v>25000</v>
      </c>
      <c r="I6" s="6" t="s">
        <v>21</v>
      </c>
      <c r="J6">
        <v>19000</v>
      </c>
    </row>
    <row r="7" spans="1:10" x14ac:dyDescent="0.35">
      <c r="A7" s="6" t="s">
        <v>20</v>
      </c>
      <c r="B7">
        <v>19000</v>
      </c>
      <c r="E7" s="6" t="s">
        <v>41</v>
      </c>
      <c r="F7">
        <v>81000</v>
      </c>
      <c r="I7" s="6" t="s">
        <v>13</v>
      </c>
      <c r="J7">
        <v>21500</v>
      </c>
    </row>
    <row r="8" spans="1:10" x14ac:dyDescent="0.35">
      <c r="A8" s="6" t="s">
        <v>41</v>
      </c>
      <c r="B8">
        <v>81000</v>
      </c>
      <c r="I8" s="6" t="s">
        <v>41</v>
      </c>
      <c r="J8">
        <v>81000</v>
      </c>
    </row>
  </sheetData>
  <mergeCells count="3">
    <mergeCell ref="A2:B2"/>
    <mergeCell ref="E2:F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Pivot_Tables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Vishav Jyoti</dc:creator>
  <cp:lastModifiedBy>Shaik Irfan</cp:lastModifiedBy>
  <dcterms:created xsi:type="dcterms:W3CDTF">2026-03-19T09:43:58Z</dcterms:created>
  <dcterms:modified xsi:type="dcterms:W3CDTF">2026-03-28T11:47:51Z</dcterms:modified>
</cp:coreProperties>
</file>